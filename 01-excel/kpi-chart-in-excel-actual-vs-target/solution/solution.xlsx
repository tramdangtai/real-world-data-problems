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homecentercorp.sharepoint.com/sites/MerchandiseDataAnalyst/My Task/TASK 2026.04/2026.04.13/"/>
    </mc:Choice>
  </mc:AlternateContent>
  <xr:revisionPtr revIDLastSave="168" documentId="8_{2A8AF990-C49B-47D8-B651-6211A89E2920}" xr6:coauthVersionLast="47" xr6:coauthVersionMax="47" xr10:uidLastSave="{A1DC9D47-67DA-49EE-8E30-8754646A3C6A}"/>
  <bookViews>
    <workbookView xWindow="-110" yWindow="-110" windowWidth="19420" windowHeight="11020" xr2:uid="{D15DD7FD-96A2-4D19-814A-966DA3D1F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 a="1"/>
  <c r="C4" i="1"/>
  <c r="D4" i="1" a="1"/>
  <c r="D4" i="1" s="1"/>
  <c r="E4" i="1" a="1"/>
  <c r="E4" i="1"/>
  <c r="F4" i="1" a="1"/>
  <c r="F4" i="1"/>
  <c r="G4" i="1" a="1"/>
  <c r="G4" i="1"/>
  <c r="H4" i="1" a="1"/>
  <c r="H4" i="1"/>
  <c r="I4" i="1" a="1"/>
  <c r="I4" i="1" s="1"/>
  <c r="J4" i="1" a="1"/>
  <c r="J4" i="1"/>
  <c r="K4" i="1" a="1"/>
  <c r="K4" i="1"/>
  <c r="L4" i="1" a="1"/>
  <c r="L4" i="1" s="1"/>
  <c r="M4" i="1" a="1"/>
  <c r="M4" i="1" s="1"/>
  <c r="B4" i="1" a="1"/>
  <c r="B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<sst xmlns="http://schemas.openxmlformats.org/spreadsheetml/2006/main" count="16" uniqueCount="16">
  <si>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Month</t>
  </si>
  <si>
    <t>Actual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</si>
  <si>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</si>
  <si>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</si>
  <si>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</si>
  <si>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</si>
  <si>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</si>
  <si>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</si>
  <si>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</si>
  <si>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</si>
  <si>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</si>
  <si>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</si>
  <si>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</si>
  <si>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</si>
  <si>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w % Achieved</t>
  </si>
  <si>
    <t>-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</si>
</sst>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vs Target -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A15CCB5-17E0-458B-B78C-DCD302FE71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08E-4DD4-8147-A676BABBD5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47C0AA-0363-44FB-971A-1CB8164B1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08E-4DD4-8147-A676BABBD5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B17C23-15B5-4D52-A73C-ADC40ED51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8E-4DD4-8147-A676BABBD5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57EE85F-F79E-4164-A65A-E8FB64647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8E-4DD4-8147-A676BABBD5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33C2B6-2AAF-40C6-A112-F2C93214D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08E-4DD4-8147-A676BABBD5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1144C8-506A-49A6-A8E0-490092CDB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8E-4DD4-8147-A676BABBD5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E83CCD-A9E1-47C7-A889-CD61B94BD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08E-4DD4-8147-A676BABBD5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35A592-670E-4274-BAD9-21CA07D83C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08E-4DD4-8147-A676BABBD54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ED9182-0D73-46D5-85A9-06AD74D82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08E-4DD4-8147-A676BABBD54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10AAAA-A204-4BB7-B2BA-74AD99BCA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08E-4DD4-8147-A676BABBD54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4E73EF8-B19B-47E3-B3DA-DEAC76C1B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08E-4DD4-8147-A676BABBD54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71B700D-AB69-447B-AFD9-A665E0388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08E-4DD4-8147-A676BABBD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glow rad="63500">
                        <a:schemeClr val="bg1">
                          <a:alpha val="8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Sheet1!$B$2:$M$2</c:f>
              <c:numCache>
                <c:formatCode>General</c:formatCode>
                <c:ptCount val="12"/>
                <c:pt idx="0">
                  <c:v>682809</c:v>
                </c:pt>
                <c:pt idx="1">
                  <c:v>481576</c:v>
                </c:pt>
                <c:pt idx="2">
                  <c:v>509548</c:v>
                </c:pt>
                <c:pt idx="3">
                  <c:v>93321</c:v>
                </c:pt>
                <c:pt idx="4">
                  <c:v>680744</c:v>
                </c:pt>
                <c:pt idx="5">
                  <c:v>767810</c:v>
                </c:pt>
                <c:pt idx="6">
                  <c:v>126832</c:v>
                </c:pt>
                <c:pt idx="7">
                  <c:v>430368</c:v>
                </c:pt>
                <c:pt idx="8">
                  <c:v>614481</c:v>
                </c:pt>
                <c:pt idx="9">
                  <c:v>61737</c:v>
                </c:pt>
                <c:pt idx="10">
                  <c:v>731812</c:v>
                </c:pt>
                <c:pt idx="11">
                  <c:v>67566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Sheet1!$B$4:$M$4</c15:f>
                <c15:dlblRangeCache>
                  <c:ptCount val="12"/>
                  <c:pt idx="0">
                    <c:v>682.8K
(94%)</c:v>
                  </c:pt>
                  <c:pt idx="1">
                    <c:v>481.6K
(92%)</c:v>
                  </c:pt>
                  <c:pt idx="2">
                    <c:v>509.5K
(71%)</c:v>
                  </c:pt>
                  <c:pt idx="3">
                    <c:v>93.3K
(14%)</c:v>
                  </c:pt>
                  <c:pt idx="4">
                    <c:v>680.7K
(117%)</c:v>
                  </c:pt>
                  <c:pt idx="5">
                    <c:v>767.8K
(1248%)</c:v>
                  </c:pt>
                  <c:pt idx="6">
                    <c:v>126.8K
(22%)</c:v>
                  </c:pt>
                  <c:pt idx="7">
                    <c:v>430.4K
(227%)</c:v>
                  </c:pt>
                  <c:pt idx="8">
                    <c:v>614.5K
(119%)</c:v>
                  </c:pt>
                  <c:pt idx="9">
                    <c:v>61.7K
(8%)</c:v>
                  </c:pt>
                  <c:pt idx="10">
                    <c:v>731.8K
(432%)</c:v>
                  </c:pt>
                  <c:pt idx="11">
                    <c:v>67.6K
(8%)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108E-4DD4-8147-A676BABBD54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- Target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"/>
            <c:spPr>
              <a:noFill/>
              <a:ln w="444500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Sheet1!$B$1:$M$1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726449</c:v>
                </c:pt>
                <c:pt idx="1">
                  <c:v>522881</c:v>
                </c:pt>
                <c:pt idx="2">
                  <c:v>722404</c:v>
                </c:pt>
                <c:pt idx="3">
                  <c:v>684703</c:v>
                </c:pt>
                <c:pt idx="4">
                  <c:v>579436</c:v>
                </c:pt>
                <c:pt idx="5">
                  <c:v>61506</c:v>
                </c:pt>
                <c:pt idx="6">
                  <c:v>587575</c:v>
                </c:pt>
                <c:pt idx="7">
                  <c:v>189934</c:v>
                </c:pt>
                <c:pt idx="8">
                  <c:v>515725</c:v>
                </c:pt>
                <c:pt idx="9">
                  <c:v>764818</c:v>
                </c:pt>
                <c:pt idx="10">
                  <c:v>169393</c:v>
                </c:pt>
                <c:pt idx="11">
                  <c:v>859565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DD4-8147-A676BABBD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59009183"/>
        <c:axId val="2059009663"/>
      </c:barChart>
      <c:catAx>
        <c:axId val="205900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09663"/>
        <c:crosses val="autoZero"/>
        <c:auto val="1"/>
        <c:lblAlgn val="ctr"/>
        <c:lblOffset val="100"/>
        <c:noMultiLvlLbl val="0"/>
      </c:catAx>
      <c:valAx>
        <c:axId val="20590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,,&quot;M&quot;;[&gt;=1000]0,&quot;K&quot;;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091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35429" y="1315357"/>
    <xdr:ext cx="9089571" cy="38190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DBD49-113C-44F9-8C1E-1DBF64B160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F53A-F263-4538-880F-1653E12D9CA8}">
  <dimension ref="A1:M4"/>
  <sheetViews>
    <sheetView tabSelected="1" zoomScale="75" zoomScaleNormal="100" workbookViewId="0">
      <selection activeCell="L1" sqref="L1"/>
    </sheetView>
  </sheetViews>
  <sheetFormatPr defaultRowHeight="14.5" x14ac:dyDescent="0.35"/>
  <cols>
    <col min="1" max="1" width="22.54296875" customWidth="1"/>
    <col min="2" max="2" width="12.7265625" bestFit="1" customWidth="1"/>
    <col min="3" max="5" width="11.7265625" bestFit="1" customWidth="1"/>
    <col min="6" max="9" width="12.7265625" bestFit="1" customWidth="1"/>
    <col min="10" max="13" width="11.7265625" bestFit="1" customWidth="1"/>
  </cols>
  <sheetData>
    <row r="1" spans="1:13" x14ac:dyDescent="0.35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5">
      <c r="A2" s="2" t="s">
        <v>1</v>
      </c>
      <c r="B2" s="1">
        <v>682809</v>
      </c>
      <c r="C2" s="1">
        <v>481576</v>
      </c>
      <c r="D2" s="1">
        <v>509548</v>
      </c>
      <c r="E2" s="1">
        <v>93321</v>
      </c>
      <c r="F2" s="1">
        <v>680744</v>
      </c>
      <c r="G2" s="1">
        <v>767810</v>
      </c>
      <c r="H2" s="1">
        <v>126832</v>
      </c>
      <c r="I2" s="1">
        <v>430368</v>
      </c>
      <c r="J2" s="1">
        <v>614481</v>
      </c>
      <c r="K2" s="1">
        <v>61737</v>
      </c>
      <c r="L2" s="1">
        <v>731812</v>
      </c>
      <c r="M2" s="1">
        <v>67566</v>
      </c>
    </row>
    <row r="3" spans="1:13" x14ac:dyDescent="0.35">
      <c r="A3" s="3" t="s">
        <v>15</v>
      </c>
      <c r="B3" s="1">
        <v>726449</v>
      </c>
      <c r="C3" s="1">
        <v>522881</v>
      </c>
      <c r="D3" s="1">
        <v>722404</v>
      </c>
      <c r="E3" s="1">
        <v>684703</v>
      </c>
      <c r="F3" s="1">
        <v>579436</v>
      </c>
      <c r="G3" s="1">
        <v>61506</v>
      </c>
      <c r="H3" s="1">
        <v>587575</v>
      </c>
      <c r="I3" s="1">
        <v>189934</v>
      </c>
      <c r="J3" s="1">
        <v>515725</v>
      </c>
      <c r="K3" s="1">
        <v>764818</v>
      </c>
      <c r="L3" s="1">
        <v>169393</v>
      </c>
      <c r="M3" s="1">
        <v>859565</v>
      </c>
    </row>
    <row r="4" spans="1:13" ht="29" x14ac:dyDescent="0.35">
      <c r="A4" s="2" t="s">
        <v>14</v>
      </c>
      <c r="B4" s="4" t="str" cm="1">
        <f t="array" ref="B4">_xlfn.LET(
  _xlpm.salesActual, B2,
  _xlpm.salesTarget, B3,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682.8K
(94%)</v>
      </c>
      <c r="C4" s="4" t="str" cm="1">
        <f t="array" ref="C4">_xlfn.LET(
  _xlpm.salesActual, C2,
  _xlpm.salesTarget, C3,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481.6K
(92%)</v>
      </c>
      <c r="D4" s="4" t="str" cm="1">
        <f t="array" ref="D4">_xlfn.LET(
  _xlpm.salesActual, D2,
  _xlpm.salesTarget, D3,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509.5K
(71%)</v>
      </c>
      <c r="E4" s="4" t="str" cm="1">
        <f t="array" ref="E4">_xlfn.LET(
  _xlpm.salesActual, E2,
  _xlpm.salesTarget, E3,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93.3K
(14%)</v>
      </c>
      <c r="F4" s="4" t="str" cm="1">
        <f t="array" ref="F4">_xlfn.LET(
  _xlpm.salesActual, F2,
  _xlpm.salesTarget, F3,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680.7K
(117%)</v>
      </c>
      <c r="G4" s="4" t="str" cm="1">
        <f t="array" ref="G4">_xlfn.LET(
  _xlpm.salesActual, G2,
  _xlpm.salesTarget, G3,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767.8K
(1248%)</v>
      </c>
      <c r="H4" s="4" t="str" cm="1">
        <f t="array" ref="H4">_xlfn.LET(
  _xlpm.salesActual, H2,
  _xlpm.salesTarget, H3,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126.8K
(22%)</v>
      </c>
      <c r="I4" s="4" t="str" cm="1">
        <f t="array" ref="I4">_xlfn.LET(
  _xlpm.salesActual, I2,
  _xlpm.salesTarget, I3,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430.4K
(227%)</v>
      </c>
      <c r="J4" s="4" t="str" cm="1">
        <f t="array" ref="J4">_xlfn.LET(
  _xlpm.salesActual, J2,
  _xlpm.salesTarget, J3,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614.5K
(119%)</v>
      </c>
      <c r="K4" s="4" t="str" cm="1">
        <f t="array" ref="K4">_xlfn.LET(
  _xlpm.salesActual, K2,
  _xlpm.salesTarget, K3,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61.7K
(8%)</v>
      </c>
      <c r="L4" s="4" t="str" cm="1">
        <f t="array" ref="L4">_xlfn.LET(
  _xlpm.salesActual, L2,
  _xlpm.salesTarget, L3,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731.8K
(432%)</v>
      </c>
      <c r="M4" s="4" t="str" cm="1">
        <f t="array" ref="M4">_xlfn.LET(
  _xlpm.salesActual, M2,
  _xlpm.salesTarget, M3,
  _xlpm.salesActualWithFormat,
    _xlfn.SWITCH(
      TRUE(),
      _xlpm.salesActual &gt;=1000000, TEXT(_xlpm.salesActual/1000000,"0.0")&amp;"M",
      _xlpm.salesActual &gt;=1000, TEXT(_xlpm.salesActual/1000,"0.0")&amp;"K",
      TEXT(_xlpm.salesActual,"0.0")
    ),
  _xlpm.percentageAchieved, TEXT(_xlpm.salesActual/_xlpm.salesTarget,"0%"),
  _xlpm.result, _xlpm.salesActualWithFormat &amp; CHAR(10) &amp; "(" &amp; _xlpm.percentageAchieved &amp; ")",
  IFERROR(_xlpm.result,"")
)</f>
        <v>67.6K
(8%)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29440E617329498F6577DFE0655901" ma:contentTypeVersion="12" ma:contentTypeDescription="Create a new document." ma:contentTypeScope="" ma:versionID="85e414b53d67a41fc79528f7744b5668">
  <xsd:schema xmlns:xsd="http://www.w3.org/2001/XMLSchema" xmlns:xs="http://www.w3.org/2001/XMLSchema" xmlns:p="http://schemas.microsoft.com/office/2006/metadata/properties" xmlns:ns2="ada9b347-bc90-4f3c-8892-7d04d815fbf9" xmlns:ns3="d4ebecba-2aea-4bf0-834f-cf0cba4ab381" targetNamespace="http://schemas.microsoft.com/office/2006/metadata/properties" ma:root="true" ma:fieldsID="6a432f3a4baef1aff6f33b2c4860ecd9" ns2:_="" ns3:_="">
    <xsd:import namespace="ada9b347-bc90-4f3c-8892-7d04d815fbf9"/>
    <xsd:import namespace="d4ebecba-2aea-4bf0-834f-cf0cba4ab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9b347-bc90-4f3c-8892-7d04d815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9fe30c-202e-48d1-a57f-804e6fc6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becba-2aea-4bf0-834f-cf0cba4ab3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1f8ef1-9473-46ab-918a-c64241b3bf1d}" ma:internalName="TaxCatchAll" ma:showField="CatchAllData" ma:web="d4ebecba-2aea-4bf0-834f-cf0cba4ab3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a9b347-bc90-4f3c-8892-7d04d815fbf9">
      <Terms xmlns="http://schemas.microsoft.com/office/infopath/2007/PartnerControls"/>
    </lcf76f155ced4ddcb4097134ff3c332f>
    <TaxCatchAll xmlns="d4ebecba-2aea-4bf0-834f-cf0cba4ab381" xsi:nil="true"/>
  </documentManagement>
</p:properties>
</file>

<file path=customXml/itemProps1.xml><?xml version="1.0" encoding="utf-8"?>
<ds:datastoreItem xmlns:ds="http://schemas.openxmlformats.org/officeDocument/2006/customXml" ds:itemID="{11071F19-8993-4C1B-AF89-0BFC02CEA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9b347-bc90-4f3c-8892-7d04d815fbf9"/>
    <ds:schemaRef ds:uri="d4ebecba-2aea-4bf0-834f-cf0cba4ab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377772-A625-44DC-9E3A-1CF6F8402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78447-A4EA-4E3A-A921-651FA4A99F1A}">
  <ds:schemaRefs>
    <ds:schemaRef ds:uri="http://schemas.microsoft.com/office/2006/metadata/properties"/>
    <ds:schemaRef ds:uri="http://schemas.microsoft.com/office/infopath/2007/PartnerControls"/>
    <ds:schemaRef ds:uri="ada9b347-bc90-4f3c-8892-7d04d815fbf9"/>
    <ds:schemaRef ds:uri="d4ebecba-2aea-4bf0-834f-cf0cba4ab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Tai, Tram Dang</dc:creator>
  <cp:lastModifiedBy>Tai, Tram Dang</cp:lastModifiedBy>
  <cp:lastPrinted>2026-04-13T10:58:02Z</cp:lastPrinted>
  <dcterms:created xsi:type="dcterms:W3CDTF">2026-04-13T09:30:13Z</dcterms:created>
  <dcterms:modified xsi:type="dcterms:W3CDTF">2026-04-15T16:12:34Z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0x010100E229440E617329498F6577DFE0655901</vt:lpwstr>
  </property>
  <property fmtid="{D5CDD505-2E9C-101B-9397-08002B2CF9AE}" pid="3" name="MediaServiceImageTags">
    <vt:lpwstr/>
  </property>
</Properties>
</file>